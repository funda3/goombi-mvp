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 User\Desktop\AdviceSpace\"/>
    </mc:Choice>
  </mc:AlternateContent>
  <xr:revisionPtr revIDLastSave="0" documentId="13_ncr:1_{A3CBA683-AD93-4921-B01B-09757CE548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1" r:id="rId1"/>
    <sheet name="Provider Tracker" sheetId="2" r:id="rId2"/>
    <sheet name="Coord Verification" sheetId="3" r:id="rId3"/>
    <sheet name="Lists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F10" i="1"/>
  <c r="I9" i="1"/>
  <c r="F9" i="1"/>
  <c r="C9" i="1"/>
  <c r="I8" i="1"/>
  <c r="F8" i="1"/>
  <c r="C8" i="1"/>
  <c r="I7" i="1"/>
  <c r="F7" i="1"/>
  <c r="C7" i="1"/>
  <c r="I6" i="1"/>
  <c r="F6" i="1"/>
  <c r="I5" i="1"/>
  <c r="F5" i="1"/>
</calcChain>
</file>

<file path=xl/sharedStrings.xml><?xml version="1.0" encoding="utf-8"?>
<sst xmlns="http://schemas.openxmlformats.org/spreadsheetml/2006/main" count="417" uniqueCount="250">
  <si>
    <t>Goombi Phase 1 — Provider Onboarding Dashboard</t>
  </si>
  <si>
    <t>Last updated: 04 June 2026  |  Target: 20 accommodation LOIs + 10 workspace LOIs</t>
  </si>
  <si>
    <t>Metric</t>
  </si>
  <si>
    <t>Value</t>
  </si>
  <si>
    <t>Pipeline Status</t>
  </si>
  <si>
    <t>Count</t>
  </si>
  <si>
    <t>Province</t>
  </si>
  <si>
    <t>Providers</t>
  </si>
  <si>
    <t>Accommodation LOI signed target</t>
  </si>
  <si>
    <t>Not contacted</t>
  </si>
  <si>
    <t>Gauteng</t>
  </si>
  <si>
    <t>Workspace LOI signed target</t>
  </si>
  <si>
    <t>Contacted</t>
  </si>
  <si>
    <t>Western Cape</t>
  </si>
  <si>
    <t>Total signed LOIs</t>
  </si>
  <si>
    <t>Interested</t>
  </si>
  <si>
    <t>KwaZulu-Natal</t>
  </si>
  <si>
    <t>Accommodation signed LOIs</t>
  </si>
  <si>
    <t>LOI sent</t>
  </si>
  <si>
    <t>Total providers</t>
  </si>
  <si>
    <t>Workspace signed LOIs</t>
  </si>
  <si>
    <t>LOI signed</t>
  </si>
  <si>
    <t>Live pilot</t>
  </si>
  <si>
    <t>Declined</t>
  </si>
  <si>
    <t>Coordinate Verification Summary</t>
  </si>
  <si>
    <t>Pending verification</t>
  </si>
  <si>
    <t>Verified — ready to import</t>
  </si>
  <si>
    <t>Import eligible</t>
  </si>
  <si>
    <t>Imported to map</t>
  </si>
  <si>
    <t>Provider ID</t>
  </si>
  <si>
    <t>Provider Name</t>
  </si>
  <si>
    <t>Category</t>
  </si>
  <si>
    <t>Provider Type</t>
  </si>
  <si>
    <t>City</t>
  </si>
  <si>
    <t>Suburb</t>
  </si>
  <si>
    <t>Address</t>
  </si>
  <si>
    <t>Contact Person</t>
  </si>
  <si>
    <t>Role</t>
  </si>
  <si>
    <t>Email</t>
  </si>
  <si>
    <t>Phone</t>
  </si>
  <si>
    <t>Source</t>
  </si>
  <si>
    <t>LOI Status</t>
  </si>
  <si>
    <t>Pilot Status</t>
  </si>
  <si>
    <t>Data Quality</t>
  </si>
  <si>
    <t>Commission Accepted</t>
  </si>
  <si>
    <t>Date Contacted</t>
  </si>
  <si>
    <t>Next Step</t>
  </si>
  <si>
    <t>Next Step Due</t>
  </si>
  <si>
    <t>Notes</t>
  </si>
  <si>
    <t>Source URL</t>
  </si>
  <si>
    <t>GMB-ACC-001</t>
  </si>
  <si>
    <t>Example Guesthouse Sandton</t>
  </si>
  <si>
    <t>Accommodation</t>
  </si>
  <si>
    <t>Guesthouse</t>
  </si>
  <si>
    <t>Johannesburg</t>
  </si>
  <si>
    <t>Sandton</t>
  </si>
  <si>
    <t>Demo address</t>
  </si>
  <si>
    <t>TBD</t>
  </si>
  <si>
    <t>Owner</t>
  </si>
  <si>
    <t>Association</t>
  </si>
  <si>
    <t>Not started</t>
  </si>
  <si>
    <t>Missing images</t>
  </si>
  <si>
    <t>Call owner</t>
  </si>
  <si>
    <t>2026-06-10</t>
  </si>
  <si>
    <t>Demo placeholder</t>
  </si>
  <si>
    <t>GMB-ACC-002</t>
  </si>
  <si>
    <t>Example B&amp;B Rosebank</t>
  </si>
  <si>
    <t>B&amp;B</t>
  </si>
  <si>
    <t>Rosebank</t>
  </si>
  <si>
    <t>Manager</t>
  </si>
  <si>
    <t>Direct outreach</t>
  </si>
  <si>
    <t>Ready for map</t>
  </si>
  <si>
    <t>Send LOI</t>
  </si>
  <si>
    <t>2026-06-11</t>
  </si>
  <si>
    <t>GMB-WRK-001</t>
  </si>
  <si>
    <t>Example Workspace Sandton</t>
  </si>
  <si>
    <t>Workspace</t>
  </si>
  <si>
    <t>Coworking</t>
  </si>
  <si>
    <t>Sales</t>
  </si>
  <si>
    <t>Public website</t>
  </si>
  <si>
    <t>Needs review</t>
  </si>
  <si>
    <t>Find decision maker</t>
  </si>
  <si>
    <t>GMB-WRK-002</t>
  </si>
  <si>
    <t>Example Boardroom Rosebank</t>
  </si>
  <si>
    <t>Boardroom</t>
  </si>
  <si>
    <t>Venue manager</t>
  </si>
  <si>
    <t>Referral</t>
  </si>
  <si>
    <t>Missing prices</t>
  </si>
  <si>
    <t>Request price sheet</t>
  </si>
  <si>
    <t>2026-06-12</t>
  </si>
  <si>
    <t>ID</t>
  </si>
  <si>
    <t>Name</t>
  </si>
  <si>
    <t>Provider</t>
  </si>
  <si>
    <t>Workspace Type</t>
  </si>
  <si>
    <t>Status</t>
  </si>
  <si>
    <t>Latitude</t>
  </si>
  <si>
    <t>Longitude</t>
  </si>
  <si>
    <t>Batch</t>
  </si>
  <si>
    <t>Geocode Status</t>
  </si>
  <si>
    <t>Coordinate Source</t>
  </si>
  <si>
    <t>Verified At</t>
  </si>
  <si>
    <t>Confidence</t>
  </si>
  <si>
    <t>Review Notes</t>
  </si>
  <si>
    <t>Import Eligible</t>
  </si>
  <si>
    <t>workspace-gauteng-workshop17-firestation-01</t>
  </si>
  <si>
    <t>Workshop17 Firestation</t>
  </si>
  <si>
    <t>Workshop17</t>
  </si>
  <si>
    <t>coworking</t>
  </si>
  <si>
    <t>active</t>
  </si>
  <si>
    <t>Batch 1</t>
  </si>
  <si>
    <t>pending</t>
  </si>
  <si>
    <t>workspace-gauteng-workshop17-west-street-01</t>
  </si>
  <si>
    <t>Workshop17 West Street</t>
  </si>
  <si>
    <t>workspace-gauteng-workshop17-hyde-park-corner-01</t>
  </si>
  <si>
    <t>Workshop17 Hyde Park Corner</t>
  </si>
  <si>
    <t>Hyde Park</t>
  </si>
  <si>
    <t>workspace-gauteng-workshop17-the-bank-01</t>
  </si>
  <si>
    <t>Workshop17 The Bank</t>
  </si>
  <si>
    <t>workspace-gauteng-spaces-atrium-on-5th-01</t>
  </si>
  <si>
    <t>Spaces Atrium on 5th</t>
  </si>
  <si>
    <t>Spaces</t>
  </si>
  <si>
    <t>serviced_office</t>
  </si>
  <si>
    <t>workspace-gauteng-spaces-menlyn-maine-01</t>
  </si>
  <si>
    <t>Spaces Menlyn Maine</t>
  </si>
  <si>
    <t>Menlyn</t>
  </si>
  <si>
    <t>Pretoria</t>
  </si>
  <si>
    <t>workspace-gauteng-spaces-waterfall-midrand-01</t>
  </si>
  <si>
    <t>Spaces Waterfall Midrand</t>
  </si>
  <si>
    <t>Waterfall City</t>
  </si>
  <si>
    <t>Midrand</t>
  </si>
  <si>
    <t>workspace-gauteng-wework-sandton-01</t>
  </si>
  <si>
    <t>WeWork Sandton</t>
  </si>
  <si>
    <t>WeWork</t>
  </si>
  <si>
    <t>workspace-gauteng-tshimologong-digital-innovation-precinct-01</t>
  </si>
  <si>
    <t>Tshimologong Digital Innovation Precinct</t>
  </si>
  <si>
    <t>Tshimologong</t>
  </si>
  <si>
    <t>innovation_hub</t>
  </si>
  <si>
    <t>Braamfontein</t>
  </si>
  <si>
    <t>workspace-gauteng-regus-rosebank-corner-01</t>
  </si>
  <si>
    <t>Regus Rosebank Corner</t>
  </si>
  <si>
    <t>Regus</t>
  </si>
  <si>
    <t>HOW TO VERIFY: 1) Search workspace name in Google Maps  2) Right-click pin → 'What's here?'  3) Copy lat/lng into columns J &amp; K  4) Set Geocode Status = verified  5) Set Confidence = high  6) Set Import Eligible = TRUE  7) Save file  8) Run import script</t>
  </si>
  <si>
    <t>Commission</t>
  </si>
  <si>
    <t>Coord Source</t>
  </si>
  <si>
    <t>Missing location</t>
  </si>
  <si>
    <t>Yes</t>
  </si>
  <si>
    <t>official_provider_page</t>
  </si>
  <si>
    <t>high</t>
  </si>
  <si>
    <t>Data collection</t>
  </si>
  <si>
    <t>No</t>
  </si>
  <si>
    <t>verified</t>
  </si>
  <si>
    <t>google_maps_manual_review</t>
  </si>
  <si>
    <t>medium</t>
  </si>
  <si>
    <t>Boutique stay</t>
  </si>
  <si>
    <t>Loaded</t>
  </si>
  <si>
    <t>imported</t>
  </si>
  <si>
    <t>openstreetmap_manual_review</t>
  </si>
  <si>
    <t>low</t>
  </si>
  <si>
    <t>Serviced office</t>
  </si>
  <si>
    <t>Limpopo</t>
  </si>
  <si>
    <t>provider_site_plus_maps_review</t>
  </si>
  <si>
    <t>Mpumalanga</t>
  </si>
  <si>
    <t>Paused</t>
  </si>
  <si>
    <t>Meeting room</t>
  </si>
  <si>
    <t>Eastern Cape</t>
  </si>
  <si>
    <t>Complete</t>
  </si>
  <si>
    <t>Northern Cape</t>
  </si>
  <si>
    <t>Conference venue</t>
  </si>
  <si>
    <t>Free State</t>
  </si>
  <si>
    <t>Innovation hub</t>
  </si>
  <si>
    <t>North West</t>
  </si>
  <si>
    <t>Goombi Phase 1 — Onboarding Tracker Instructions</t>
  </si>
  <si>
    <t>SHEETS</t>
  </si>
  <si>
    <t>Dashboard</t>
  </si>
  <si>
    <t>Live metrics: LOI targets, pipeline counts, province breakdown, coordinate verification summary. All figures update automatically from the Provider Tracker and Coord Verification sheets.</t>
  </si>
  <si>
    <t>Provider Tracker</t>
  </si>
  <si>
    <t>Add one row per provider. Fill in all contact, status and data quality fields. Use the dropdown menus for LOI Status, Pilot Status, Province and Commission Accepted.</t>
  </si>
  <si>
    <t>Coord Verification</t>
  </si>
  <si>
    <t>The 10 priority Gauteng workspaces awaiting manual coordinate verification. Follow the step-by-step guide below to verify and mark import-eligible rows.</t>
  </si>
  <si>
    <t>Lists</t>
  </si>
  <si>
    <t>HOW TO VERIFY COORDINATES — STEP BY STEP</t>
  </si>
  <si>
    <t>Step 1</t>
  </si>
  <si>
    <t>Go to Coord Verification sheet. Find a workspace row with Geocode Status = pending.</t>
  </si>
  <si>
    <t>Step 2</t>
  </si>
  <si>
    <t>Open Google Maps in Chrome. Search the exact workspace name and address shown in columns B and E.</t>
  </si>
  <si>
    <t>Step 3</t>
  </si>
  <si>
    <t>Click the exact building pin — not a suburb or street result. The pin must match the workspace name and address.</t>
  </si>
  <si>
    <t>Step 4</t>
  </si>
  <si>
    <t>Right-click the pin → click 'What's here?' — Google shows the coordinates at the bottom of the screen e.g. -26.1234, 28.0567</t>
  </si>
  <si>
    <t>Step 5</t>
  </si>
  <si>
    <t>Copy the latitude (first number) into column J. Copy the longitude (second number) into column K.</t>
  </si>
  <si>
    <t>Step 6</t>
  </si>
  <si>
    <t>Set column M (Geocode Status) = verified using the dropdown.</t>
  </si>
  <si>
    <t>Step 7</t>
  </si>
  <si>
    <t>Set column N (Coordinate Source) = google_maps_manual_review using the dropdown.</t>
  </si>
  <si>
    <t>Step 8</t>
  </si>
  <si>
    <t>Set column O (Verified At) = today's date in YYYY-MM-DD format e.g. 2026-06-03</t>
  </si>
  <si>
    <t>Step 9</t>
  </si>
  <si>
    <t>Set column P (Confidence) = high if the pin name, address, suburb and city all match exactly. Set medium if approximate.</t>
  </si>
  <si>
    <t>Step 10</t>
  </si>
  <si>
    <t>Add a brief note in column Q e.g. 'Pin matched Workshop17 Firestation building on Sherborne Road, Parktown'</t>
  </si>
  <si>
    <t>Step 11</t>
  </si>
  <si>
    <t>Set column R (Import Eligible) = TRUE using the dropdown. Only set TRUE when Steps 6–10 are all complete.</t>
  </si>
  <si>
    <t>Step 12</t>
  </si>
  <si>
    <t>Save the Excel file. Then run the import script: python C:\Goombi\goombi-mvp\backend\app\data\import_verified_workspaces.py</t>
  </si>
  <si>
    <t>ACCEPTED COORDINATE SOURCES</t>
  </si>
  <si>
    <t>The workspace provider's own website has a map pin or exact address that matches.</t>
  </si>
  <si>
    <t>You searched Google Maps, found the exact building pin, and copied coordinates from it.</t>
  </si>
  <si>
    <t>You used OpenStreetMap / Nominatim to locate the building and copied coordinates.</t>
  </si>
  <si>
    <t>Provider website confirmed the address AND Google Maps / OSM confirmed the pin — the safest method.</t>
  </si>
  <si>
    <t>NEVER ACCEPTABLE</t>
  </si>
  <si>
    <t>City centroid</t>
  </si>
  <si>
    <t>Do not use -26.2041, 28.0473 (Johannesburg centre) for all Johannesburg listings.</t>
  </si>
  <si>
    <t>Suburb centroid</t>
  </si>
  <si>
    <t>Do not use 'roughly Sandton' or 'approximately Rosebank' coordinates.</t>
  </si>
  <si>
    <t>AI-generated</t>
  </si>
  <si>
    <t>Do not use coordinates generated by any AI without manual map verification.</t>
  </si>
  <si>
    <t>Guessed</t>
  </si>
  <si>
    <t>If you are not sure, leave the row as pending and skip it.</t>
  </si>
  <si>
    <t>138 West St, Sandown, Sandton, 2031</t>
  </si>
  <si>
    <t>Cnr Jan Smuts Avenue and William, Nicol Drive, Hyde Park, Johannesburg, 2196</t>
  </si>
  <si>
    <t>Corner Tyrwhitt and, 24 Cradock Ave, Rosebank, Johannesburg, 2196</t>
  </si>
  <si>
    <t>Maine, 1 Amarand Ave, Menlyn, Pretoria, 0181</t>
  </si>
  <si>
    <t>-25.78584912495632</t>
  </si>
  <si>
    <t>28.283861151608217</t>
  </si>
  <si>
    <t>1st Floor, Gateway West, 22 Magwa Cres, Midrand, 2066</t>
  </si>
  <si>
    <t>-26.013310155125367</t>
  </si>
  <si>
    <t>28.10757323812365</t>
  </si>
  <si>
    <t>155 West St, Sandown, Sandton, 2031</t>
  </si>
  <si>
    <t>-26.104121363784582</t>
  </si>
  <si>
    <t>28.05297931114197</t>
  </si>
  <si>
    <t>41 Juta St, Braamfontein, Johannesburg, 2017</t>
  </si>
  <si>
    <t>-26.194455799215408</t>
  </si>
  <si>
    <t>28.031981026488786</t>
  </si>
  <si>
    <t>G flr, Rosebank Corner, 191 Jan Smuts Ave, Parktown North, Randburg, 2193</t>
  </si>
  <si>
    <t>-26.145478863383</t>
  </si>
  <si>
    <t>28.03560614183016</t>
  </si>
  <si>
    <t>16 Baker St, Rosebank, Johannesburg, 2196</t>
  </si>
  <si>
    <t>-26.14788898374116</t>
  </si>
  <si>
    <t>28.040571339979415</t>
  </si>
  <si>
    <t>-26.106238340370382</t>
  </si>
  <si>
    <t>28.05707897175672</t>
  </si>
  <si>
    <t>-26.12549496014284</t>
  </si>
  <si>
    <t>28.033318082307048</t>
  </si>
  <si>
    <t>-26.14526833194418</t>
  </si>
  <si>
    <t>28.042292351620887</t>
  </si>
  <si>
    <t>9th Floor, 5th St, Sandhurst, Sandton, 2196</t>
  </si>
  <si>
    <t>-26.10740455455525</t>
  </si>
  <si>
    <t>28.052479938126925</t>
  </si>
  <si>
    <t>Provider website address matched Google Maps place pin for exact workspace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</si>
</sst>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145E39"/>
      <name val="Arial"/>
    </font>
    <font>
      <b/>
      <sz val="10"/>
      <color rgb="FFFFFFFF"/>
      <name val="Arial"/>
    </font>
    <font>
      <sz val="10"/>
      <color rgb="FF145E39"/>
      <name val="Arial"/>
    </font>
    <font>
      <b/>
      <sz val="10"/>
      <color rgb="FF145E39"/>
      <name val="Arial"/>
    </font>
    <font>
      <sz val="10"/>
      <color rgb="FF1A1A1A"/>
      <name val="Arial"/>
    </font>
    <font>
      <b/>
      <sz val="10"/>
      <color rgb="FF1A1A1A"/>
      <name val="Arial"/>
    </font>
    <font>
      <b/>
      <sz val="11"/>
      <color rgb="FFFFFFFF"/>
      <name val="Arial"/>
    </font>
    <font>
      <sz val="10"/>
      <color rgb="FF555555"/>
      <name val="Arial"/>
    </font>
    <font>
      <sz val="10"/>
      <color rgb="FF2471A3"/>
      <name val="Arial"/>
    </font>
    <font>
      <sz val="10"/>
      <color rgb="FFE67E22"/>
      <name val="Arial"/>
    </font>
    <font>
      <sz val="10"/>
      <color rgb="FFC0392B"/>
      <name val="Arial"/>
    </font>
    <font>
      <sz val="9"/>
      <color rgb="FFE67E22"/>
      <name val="Arial"/>
    </font>
    <font>
      <b/>
      <sz val="13"/>
      <color rgb="FFFFFFFF"/>
      <name val="Arial"/>
    </font>
    <font>
      <b/>
      <sz val="10"/>
      <color rgb="FFC0392B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7A4A"/>
      </patternFill>
    </fill>
    <fill>
      <patternFill patternType="solid">
        <fgColor rgb="FFD6F0E2"/>
      </patternFill>
    </fill>
    <fill>
      <patternFill patternType="solid">
        <fgColor rgb="FF1A2E4A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F5F5F5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4" fillId="2" borderId="1" xfId="0" applyFont="1" applyFill="1" applyBorder="1" applyAlignment="1">
      <alignment horizontal="left" vertical="center" wrapText="1"/>
    </xf>
    <xf numFmtId="0" fontId="6" fillId="8" borderId="2" xfId="0" quotePrefix="1" applyFont="1" applyFill="1" applyBorder="1" applyAlignment="1">
      <alignment horizontal="left" vertical="center" wrapText="1"/>
    </xf>
    <xf numFmtId="14" fontId="10" fillId="7" borderId="1" xfId="0" applyNumberFormat="1" applyFont="1" applyFill="1" applyBorder="1" applyAlignment="1">
      <alignment horizontal="center" vertical="center" wrapText="1"/>
    </xf>
    <xf numFmtId="0" fontId="10" fillId="10" borderId="1" xfId="0" quotePrefix="1" applyFont="1" applyFill="1" applyBorder="1" applyAlignment="1">
      <alignment horizontal="center" vertical="center" wrapText="1"/>
    </xf>
    <xf numFmtId="0" fontId="10" fillId="7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7A4A"/>
  </sheetPr>
  <dimension ref="B1:I17"/>
  <sheetViews>
    <sheetView showGridLines="0" workbookViewId="0"/>
  </sheetViews>
  <sheetFormatPr defaultRowHeight="15" x14ac:dyDescent="0.25"/>
  <cols>
    <col min="1" max="1" width="2" customWidth="1"/>
    <col min="2" max="2" width="38" customWidth="1"/>
    <col min="3" max="3" width="16" customWidth="1"/>
    <col min="4" max="4" width="2" customWidth="1"/>
    <col min="5" max="5" width="26" customWidth="1"/>
    <col min="6" max="6" width="12" customWidth="1"/>
    <col min="7" max="7" width="2" customWidth="1"/>
    <col min="8" max="8" width="22" customWidth="1"/>
    <col min="9" max="9" width="14" customWidth="1"/>
  </cols>
  <sheetData>
    <row r="1" spans="2:9" ht="32.1" customHeight="1" x14ac:dyDescent="0.25">
      <c r="B1" s="31" t="s">
        <v>0</v>
      </c>
      <c r="C1" s="30"/>
      <c r="D1" s="30"/>
      <c r="E1" s="30"/>
      <c r="F1" s="30"/>
      <c r="G1" s="30"/>
      <c r="H1" s="30"/>
      <c r="I1" s="30"/>
    </row>
    <row r="2" spans="2:9" ht="18" customHeight="1" x14ac:dyDescent="0.25">
      <c r="B2" s="32" t="s">
        <v>1</v>
      </c>
      <c r="C2" s="30"/>
      <c r="D2" s="30"/>
      <c r="E2" s="30"/>
      <c r="F2" s="30"/>
      <c r="G2" s="30"/>
      <c r="H2" s="30"/>
      <c r="I2" s="30"/>
    </row>
    <row r="4" spans="2:9" ht="20.100000000000001" customHeight="1" x14ac:dyDescent="0.25">
      <c r="B4" s="1" t="s">
        <v>2</v>
      </c>
      <c r="C4" s="1" t="s">
        <v>3</v>
      </c>
      <c r="E4" s="1" t="s">
        <v>4</v>
      </c>
      <c r="F4" s="1" t="s">
        <v>5</v>
      </c>
      <c r="H4" s="1" t="s">
        <v>6</v>
      </c>
      <c r="I4" s="1" t="s">
        <v>7</v>
      </c>
    </row>
    <row r="5" spans="2:9" ht="18" customHeight="1" x14ac:dyDescent="0.25">
      <c r="B5" s="2" t="s">
        <v>8</v>
      </c>
      <c r="C5" s="3">
        <v>20</v>
      </c>
      <c r="E5" s="4" t="s">
        <v>9</v>
      </c>
      <c r="F5" s="5">
        <f>COUNTIF('Provider Tracker'!N2:N1000,"Not contacted")</f>
        <v>4</v>
      </c>
      <c r="H5" s="6" t="s">
        <v>10</v>
      </c>
      <c r="I5" s="7">
        <f>COUNTIF('Provider Tracker'!F2:F1000,"Gauteng")</f>
        <v>0</v>
      </c>
    </row>
    <row r="6" spans="2:9" ht="18" customHeight="1" x14ac:dyDescent="0.25">
      <c r="B6" s="8" t="s">
        <v>11</v>
      </c>
      <c r="C6" s="9">
        <v>10</v>
      </c>
      <c r="E6" s="10" t="s">
        <v>12</v>
      </c>
      <c r="F6" s="11">
        <f>COUNTIF('Provider Tracker'!N2:N1000,"Contacted")</f>
        <v>0</v>
      </c>
      <c r="H6" s="10" t="s">
        <v>13</v>
      </c>
      <c r="I6" s="11">
        <f>COUNTIF('Provider Tracker'!F2:F1000,"Western Cape")</f>
        <v>0</v>
      </c>
    </row>
    <row r="7" spans="2:9" ht="18" customHeight="1" x14ac:dyDescent="0.25">
      <c r="B7" s="2" t="s">
        <v>14</v>
      </c>
      <c r="C7" s="3">
        <f>COUNTIF('Provider Tracker'!N2:N1000,"LOI signed")</f>
        <v>0</v>
      </c>
      <c r="E7" s="4" t="s">
        <v>15</v>
      </c>
      <c r="F7" s="5">
        <f>COUNTIF('Provider Tracker'!N2:N1000,"Interested")</f>
        <v>0</v>
      </c>
      <c r="H7" s="6" t="s">
        <v>16</v>
      </c>
      <c r="I7" s="7">
        <f>COUNTIF('Provider Tracker'!F2:F1000,"KwaZulu-Natal")</f>
        <v>0</v>
      </c>
    </row>
    <row r="8" spans="2:9" ht="18" customHeight="1" x14ac:dyDescent="0.25">
      <c r="B8" s="8" t="s">
        <v>17</v>
      </c>
      <c r="C8" s="9">
        <f>COUNTIFS('Provider Tracker'!E2:E1000,"Accommodation",'Provider Tracker'!N2:N1000,"LOI signed")</f>
        <v>0</v>
      </c>
      <c r="E8" s="10" t="s">
        <v>18</v>
      </c>
      <c r="F8" s="11">
        <f>COUNTIF('Provider Tracker'!N2:N1000,"LOI sent")</f>
        <v>0</v>
      </c>
      <c r="H8" s="10" t="s">
        <v>19</v>
      </c>
      <c r="I8" s="11">
        <f>COUNTA('Provider Tracker'!A2:A1000)</f>
        <v>4</v>
      </c>
    </row>
    <row r="9" spans="2:9" ht="18" customHeight="1" x14ac:dyDescent="0.25">
      <c r="B9" s="2" t="s">
        <v>20</v>
      </c>
      <c r="C9" s="3">
        <f>COUNTIFS('Provider Tracker'!E2:E1000,"Workspace",'Provider Tracker'!N2:N1000,"LOI signed")</f>
        <v>0</v>
      </c>
      <c r="E9" s="12" t="s">
        <v>21</v>
      </c>
      <c r="F9" s="13">
        <f>COUNTIF('Provider Tracker'!N2:N1000,"LOI signed")</f>
        <v>0</v>
      </c>
      <c r="H9" s="6" t="s">
        <v>22</v>
      </c>
      <c r="I9" s="7">
        <f>COUNTIF('Provider Tracker'!O2:O1000,"Live pilot")</f>
        <v>0</v>
      </c>
    </row>
    <row r="10" spans="2:9" x14ac:dyDescent="0.25">
      <c r="B10" s="14"/>
      <c r="C10" s="14"/>
      <c r="E10" s="10" t="s">
        <v>23</v>
      </c>
      <c r="F10" s="11">
        <f>COUNTIF('Provider Tracker'!N2:N1000,"Declined")</f>
        <v>0</v>
      </c>
    </row>
    <row r="12" spans="2:9" ht="20.100000000000001" customHeight="1" x14ac:dyDescent="0.25">
      <c r="B12" s="29" t="s">
        <v>24</v>
      </c>
      <c r="C12" s="30"/>
      <c r="D12" s="30"/>
      <c r="E12" s="30"/>
      <c r="F12" s="30"/>
      <c r="G12" s="30"/>
      <c r="H12" s="30"/>
      <c r="I12" s="30"/>
    </row>
    <row r="13" spans="2:9" x14ac:dyDescent="0.25">
      <c r="B13" s="1" t="s">
        <v>2</v>
      </c>
      <c r="C13" s="1" t="s">
        <v>5</v>
      </c>
    </row>
    <row r="14" spans="2:9" ht="18" customHeight="1" x14ac:dyDescent="0.25">
      <c r="B14" s="6" t="s">
        <v>25</v>
      </c>
      <c r="C14" s="7">
        <f>COUNTIF('Coord Verification'!M2:M1000,"pending")</f>
        <v>0</v>
      </c>
    </row>
    <row r="15" spans="2:9" ht="18" customHeight="1" x14ac:dyDescent="0.25">
      <c r="B15" s="10" t="s">
        <v>26</v>
      </c>
      <c r="C15" s="11">
        <f>COUNTIF('Coord Verification'!M2:M1000,"verified")</f>
        <v>10</v>
      </c>
    </row>
    <row r="16" spans="2:9" ht="18" customHeight="1" x14ac:dyDescent="0.25">
      <c r="B16" s="6" t="s">
        <v>27</v>
      </c>
      <c r="C16" s="7">
        <f>COUNTIF('Coord Verification'!R2:R1000,TRUE)</f>
        <v>10</v>
      </c>
    </row>
    <row r="17" spans="2:3" ht="18" customHeight="1" x14ac:dyDescent="0.25">
      <c r="B17" s="10" t="s">
        <v>28</v>
      </c>
      <c r="C17" s="11">
        <f>COUNTIF('Coord Verification'!M2:M1000,"imported")</f>
        <v>0</v>
      </c>
    </row>
  </sheetData>
  <mergeCells count="3">
    <mergeCell ref="B12:I12"/>
    <mergeCell ref="B1:I1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9E62"/>
  </sheetPr>
  <dimension ref="A1:V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16" customWidth="1"/>
    <col min="4" max="4" width="18" customWidth="1"/>
    <col min="5" max="7" width="16" customWidth="1"/>
    <col min="8" max="8" width="32" customWidth="1"/>
    <col min="9" max="9" width="18" customWidth="1"/>
    <col min="10" max="10" width="14" customWidth="1"/>
    <col min="11" max="11" width="26" customWidth="1"/>
    <col min="12" max="12" width="16" customWidth="1"/>
    <col min="13" max="13" width="18" customWidth="1"/>
    <col min="14" max="15" width="16" customWidth="1"/>
    <col min="16" max="17" width="18" customWidth="1"/>
    <col min="18" max="18" width="16" customWidth="1"/>
    <col min="19" max="19" width="22" customWidth="1"/>
    <col min="20" max="20" width="16" customWidth="1"/>
    <col min="21" max="22" width="30" customWidth="1"/>
  </cols>
  <sheetData>
    <row r="1" spans="1:22" ht="27.95" customHeight="1" x14ac:dyDescent="0.25">
      <c r="A1" s="15" t="s">
        <v>29</v>
      </c>
      <c r="B1" s="15" t="s">
        <v>30</v>
      </c>
      <c r="C1" s="15" t="s">
        <v>31</v>
      </c>
      <c r="D1" s="15" t="s">
        <v>32</v>
      </c>
      <c r="E1" s="15" t="s">
        <v>6</v>
      </c>
      <c r="F1" s="15" t="s">
        <v>33</v>
      </c>
      <c r="G1" s="15" t="s">
        <v>34</v>
      </c>
      <c r="H1" s="15" t="s">
        <v>35</v>
      </c>
      <c r="I1" s="15" t="s">
        <v>36</v>
      </c>
      <c r="J1" s="15" t="s">
        <v>37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5" t="s">
        <v>43</v>
      </c>
      <c r="Q1" s="15" t="s">
        <v>44</v>
      </c>
      <c r="R1" s="15" t="s">
        <v>45</v>
      </c>
      <c r="S1" s="15" t="s">
        <v>46</v>
      </c>
      <c r="T1" s="15" t="s">
        <v>47</v>
      </c>
      <c r="U1" s="15" t="s">
        <v>48</v>
      </c>
      <c r="V1" s="15" t="s">
        <v>49</v>
      </c>
    </row>
    <row r="2" spans="1:22" ht="20.100000000000001" customHeight="1" x14ac:dyDescent="0.25">
      <c r="A2" s="16" t="s">
        <v>50</v>
      </c>
      <c r="B2" s="16" t="s">
        <v>51</v>
      </c>
      <c r="C2" s="16" t="s">
        <v>52</v>
      </c>
      <c r="D2" s="16" t="s">
        <v>53</v>
      </c>
      <c r="E2" s="16" t="s">
        <v>10</v>
      </c>
      <c r="F2" s="16" t="s">
        <v>54</v>
      </c>
      <c r="G2" s="16" t="s">
        <v>55</v>
      </c>
      <c r="H2" s="16" t="s">
        <v>56</v>
      </c>
      <c r="I2" s="16" t="s">
        <v>57</v>
      </c>
      <c r="J2" s="16" t="s">
        <v>58</v>
      </c>
      <c r="K2" s="16"/>
      <c r="L2" s="16"/>
      <c r="M2" s="16" t="s">
        <v>59</v>
      </c>
      <c r="N2" s="17" t="s">
        <v>9</v>
      </c>
      <c r="O2" s="16" t="s">
        <v>60</v>
      </c>
      <c r="P2" s="16" t="s">
        <v>61</v>
      </c>
      <c r="Q2" s="16" t="s">
        <v>57</v>
      </c>
      <c r="R2" s="16"/>
      <c r="S2" s="16" t="s">
        <v>62</v>
      </c>
      <c r="T2" s="16" t="s">
        <v>63</v>
      </c>
      <c r="U2" s="16" t="s">
        <v>64</v>
      </c>
      <c r="V2" s="16"/>
    </row>
    <row r="3" spans="1:22" ht="20.100000000000001" customHeight="1" x14ac:dyDescent="0.25">
      <c r="A3" s="10" t="s">
        <v>65</v>
      </c>
      <c r="B3" s="10" t="s">
        <v>66</v>
      </c>
      <c r="C3" s="10" t="s">
        <v>52</v>
      </c>
      <c r="D3" s="10" t="s">
        <v>67</v>
      </c>
      <c r="E3" s="10" t="s">
        <v>10</v>
      </c>
      <c r="F3" s="10" t="s">
        <v>54</v>
      </c>
      <c r="G3" s="10" t="s">
        <v>68</v>
      </c>
      <c r="H3" s="10" t="s">
        <v>56</v>
      </c>
      <c r="I3" s="10" t="s">
        <v>57</v>
      </c>
      <c r="J3" s="10" t="s">
        <v>69</v>
      </c>
      <c r="K3" s="10"/>
      <c r="L3" s="10"/>
      <c r="M3" s="10" t="s">
        <v>70</v>
      </c>
      <c r="N3" s="17" t="s">
        <v>9</v>
      </c>
      <c r="O3" s="10" t="s">
        <v>60</v>
      </c>
      <c r="P3" s="10" t="s">
        <v>71</v>
      </c>
      <c r="Q3" s="10" t="s">
        <v>57</v>
      </c>
      <c r="R3" s="10"/>
      <c r="S3" s="10" t="s">
        <v>72</v>
      </c>
      <c r="T3" s="10" t="s">
        <v>73</v>
      </c>
      <c r="U3" s="10" t="s">
        <v>64</v>
      </c>
      <c r="V3" s="10"/>
    </row>
    <row r="4" spans="1:22" ht="20.100000000000001" customHeight="1" x14ac:dyDescent="0.25">
      <c r="A4" s="16" t="s">
        <v>74</v>
      </c>
      <c r="B4" s="16" t="s">
        <v>75</v>
      </c>
      <c r="C4" s="16" t="s">
        <v>76</v>
      </c>
      <c r="D4" s="16" t="s">
        <v>77</v>
      </c>
      <c r="E4" s="16" t="s">
        <v>10</v>
      </c>
      <c r="F4" s="16" t="s">
        <v>54</v>
      </c>
      <c r="G4" s="16" t="s">
        <v>55</v>
      </c>
      <c r="H4" s="16" t="s">
        <v>56</v>
      </c>
      <c r="I4" s="16" t="s">
        <v>57</v>
      </c>
      <c r="J4" s="16" t="s">
        <v>78</v>
      </c>
      <c r="K4" s="16"/>
      <c r="L4" s="16"/>
      <c r="M4" s="16" t="s">
        <v>79</v>
      </c>
      <c r="N4" s="17" t="s">
        <v>9</v>
      </c>
      <c r="O4" s="16" t="s">
        <v>60</v>
      </c>
      <c r="P4" s="16" t="s">
        <v>80</v>
      </c>
      <c r="Q4" s="16" t="s">
        <v>57</v>
      </c>
      <c r="R4" s="16"/>
      <c r="S4" s="16" t="s">
        <v>81</v>
      </c>
      <c r="T4" s="16" t="s">
        <v>63</v>
      </c>
      <c r="U4" s="16" t="s">
        <v>64</v>
      </c>
      <c r="V4" s="16"/>
    </row>
    <row r="5" spans="1:22" ht="20.100000000000001" customHeight="1" x14ac:dyDescent="0.25">
      <c r="A5" s="10" t="s">
        <v>82</v>
      </c>
      <c r="B5" s="10" t="s">
        <v>83</v>
      </c>
      <c r="C5" s="10" t="s">
        <v>76</v>
      </c>
      <c r="D5" s="10" t="s">
        <v>84</v>
      </c>
      <c r="E5" s="10" t="s">
        <v>10</v>
      </c>
      <c r="F5" s="10" t="s">
        <v>54</v>
      </c>
      <c r="G5" s="10" t="s">
        <v>68</v>
      </c>
      <c r="H5" s="10" t="s">
        <v>56</v>
      </c>
      <c r="I5" s="10" t="s">
        <v>57</v>
      </c>
      <c r="J5" s="10" t="s">
        <v>85</v>
      </c>
      <c r="K5" s="10"/>
      <c r="L5" s="10"/>
      <c r="M5" s="10" t="s">
        <v>86</v>
      </c>
      <c r="N5" s="17" t="s">
        <v>9</v>
      </c>
      <c r="O5" s="10" t="s">
        <v>60</v>
      </c>
      <c r="P5" s="10" t="s">
        <v>87</v>
      </c>
      <c r="Q5" s="10" t="s">
        <v>57</v>
      </c>
      <c r="R5" s="10"/>
      <c r="S5" s="10" t="s">
        <v>88</v>
      </c>
      <c r="T5" s="10" t="s">
        <v>89</v>
      </c>
      <c r="U5" s="10" t="s">
        <v>64</v>
      </c>
      <c r="V5" s="10"/>
    </row>
  </sheetData>
  <dataValidations count="4">
    <dataValidation type="list" allowBlank="1" sqref="N2:N1000" xr:uid="{00000000-0002-0000-0100-000000000000}">
      <formula1>"Not contacted,Contacted,Interested,LOI sent,LOI signed,Declined"</formula1>
    </dataValidation>
    <dataValidation type="list" allowBlank="1" sqref="O2:O1000" xr:uid="{00000000-0002-0000-0100-000001000000}">
      <formula1>"Not started,Data collection,Loaded,Live pilot,Paused,Complete"</formula1>
    </dataValidation>
    <dataValidation type="list" allowBlank="1" sqref="E2:E1000" xr:uid="{00000000-0002-0000-0100-000002000000}">
      <formula1>"Gauteng,Western Cape,KwaZulu-Natal,Limpopo,Mpumalanga,Eastern Cape,Northern Cape,Free State,North West"</formula1>
    </dataValidation>
    <dataValidation type="list" allowBlank="1" sqref="Q2:Q1000" xr:uid="{00000000-0002-0000-0100-000003000000}">
      <formula1>"Yes,No,TBD"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2E4A"/>
  </sheetPr>
  <dimension ref="A1:R19"/>
  <sheetViews>
    <sheetView showGridLines="0" tabSelected="1" workbookViewId="0">
      <pane ySplit="1" topLeftCell="A2" activePane="bottomLeft" state="frozen"/>
      <selection pane="bottomLeft" activeCell="Q12" sqref="Q12"/>
    </sheetView>
  </sheetViews>
  <sheetFormatPr defaultRowHeight="15" x14ac:dyDescent="0.25"/>
  <cols>
    <col min="1" max="1" width="34" customWidth="1"/>
    <col min="2" max="2" width="30" customWidth="1"/>
    <col min="3" max="3" width="16" customWidth="1"/>
    <col min="4" max="4" width="18" customWidth="1"/>
    <col min="5" max="5" width="36" customWidth="1"/>
    <col min="6" max="6" width="16" customWidth="1"/>
    <col min="7" max="8" width="14" customWidth="1"/>
    <col min="9" max="9" width="12" customWidth="1"/>
    <col min="10" max="10" width="19" customWidth="1"/>
    <col min="11" max="11" width="19.28515625" customWidth="1"/>
    <col min="12" max="12" width="10" customWidth="1"/>
    <col min="13" max="13" width="16" customWidth="1"/>
    <col min="14" max="14" width="28" customWidth="1"/>
    <col min="15" max="15" width="14" customWidth="1"/>
    <col min="16" max="16" width="12" customWidth="1"/>
    <col min="17" max="17" width="38" customWidth="1"/>
    <col min="18" max="18" width="14" customWidth="1"/>
  </cols>
  <sheetData>
    <row r="1" spans="1:18" ht="27.95" customHeight="1" x14ac:dyDescent="0.25">
      <c r="A1" s="15" t="s">
        <v>90</v>
      </c>
      <c r="B1" s="15" t="s">
        <v>91</v>
      </c>
      <c r="C1" s="15" t="s">
        <v>92</v>
      </c>
      <c r="D1" s="15" t="s">
        <v>93</v>
      </c>
      <c r="E1" s="15" t="s">
        <v>35</v>
      </c>
      <c r="F1" s="15" t="s">
        <v>34</v>
      </c>
      <c r="G1" s="15" t="s">
        <v>33</v>
      </c>
      <c r="H1" s="15" t="s">
        <v>6</v>
      </c>
      <c r="I1" s="15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</row>
    <row r="2" spans="1:18" ht="25.5" x14ac:dyDescent="0.25">
      <c r="A2" s="16" t="s">
        <v>104</v>
      </c>
      <c r="B2" s="16" t="s">
        <v>105</v>
      </c>
      <c r="C2" s="16" t="s">
        <v>106</v>
      </c>
      <c r="D2" s="16" t="s">
        <v>107</v>
      </c>
      <c r="E2" s="16" t="s">
        <v>237</v>
      </c>
      <c r="F2" s="16" t="s">
        <v>68</v>
      </c>
      <c r="G2" s="16" t="s">
        <v>54</v>
      </c>
      <c r="H2" s="16" t="s">
        <v>10</v>
      </c>
      <c r="I2" s="16" t="s">
        <v>108</v>
      </c>
      <c r="J2" s="37" t="s">
        <v>238</v>
      </c>
      <c r="K2" s="18" t="s">
        <v>239</v>
      </c>
      <c r="L2" s="19" t="s">
        <v>109</v>
      </c>
      <c r="M2" s="20" t="s">
        <v>150</v>
      </c>
      <c r="N2" s="19" t="s">
        <v>151</v>
      </c>
      <c r="O2" s="38">
        <v>46177</v>
      </c>
      <c r="P2" s="21" t="s">
        <v>147</v>
      </c>
      <c r="Q2" s="19" t="s">
        <v>249</v>
      </c>
      <c r="R2" s="22" t="b">
        <v>1</v>
      </c>
    </row>
    <row r="3" spans="1:18" ht="25.5" x14ac:dyDescent="0.25">
      <c r="A3" s="10" t="s">
        <v>111</v>
      </c>
      <c r="B3" s="10" t="s">
        <v>112</v>
      </c>
      <c r="C3" s="10" t="s">
        <v>106</v>
      </c>
      <c r="D3" s="10" t="s">
        <v>107</v>
      </c>
      <c r="E3" s="10" t="s">
        <v>219</v>
      </c>
      <c r="F3" s="10" t="s">
        <v>55</v>
      </c>
      <c r="G3" s="10" t="s">
        <v>54</v>
      </c>
      <c r="H3" s="10" t="s">
        <v>10</v>
      </c>
      <c r="I3" s="10" t="s">
        <v>108</v>
      </c>
      <c r="J3" s="39" t="s">
        <v>240</v>
      </c>
      <c r="K3" s="23" t="s">
        <v>241</v>
      </c>
      <c r="L3" s="24" t="s">
        <v>109</v>
      </c>
      <c r="M3" s="20" t="s">
        <v>150</v>
      </c>
      <c r="N3" s="24" t="s">
        <v>151</v>
      </c>
      <c r="O3" s="38">
        <v>46177</v>
      </c>
      <c r="P3" s="21" t="s">
        <v>147</v>
      </c>
      <c r="Q3" s="24" t="s">
        <v>249</v>
      </c>
      <c r="R3" s="22" t="b">
        <v>1</v>
      </c>
    </row>
    <row r="4" spans="1:18" ht="38.25" x14ac:dyDescent="0.25">
      <c r="A4" s="16" t="s">
        <v>113</v>
      </c>
      <c r="B4" s="16" t="s">
        <v>114</v>
      </c>
      <c r="C4" s="16" t="s">
        <v>106</v>
      </c>
      <c r="D4" s="16" t="s">
        <v>107</v>
      </c>
      <c r="E4" s="16" t="s">
        <v>220</v>
      </c>
      <c r="F4" s="16" t="s">
        <v>115</v>
      </c>
      <c r="G4" s="16" t="s">
        <v>54</v>
      </c>
      <c r="H4" s="16" t="s">
        <v>10</v>
      </c>
      <c r="I4" s="16" t="s">
        <v>108</v>
      </c>
      <c r="J4" s="40" t="s">
        <v>242</v>
      </c>
      <c r="K4" s="18" t="s">
        <v>243</v>
      </c>
      <c r="L4" s="19" t="s">
        <v>109</v>
      </c>
      <c r="M4" s="20" t="s">
        <v>150</v>
      </c>
      <c r="N4" s="19" t="s">
        <v>151</v>
      </c>
      <c r="O4" s="38">
        <v>46177</v>
      </c>
      <c r="P4" s="21" t="s">
        <v>147</v>
      </c>
      <c r="Q4" s="19" t="s">
        <v>249</v>
      </c>
      <c r="R4" s="22" t="b">
        <v>1</v>
      </c>
    </row>
    <row r="5" spans="1:18" ht="25.5" x14ac:dyDescent="0.25">
      <c r="A5" s="10" t="s">
        <v>116</v>
      </c>
      <c r="B5" s="10" t="s">
        <v>117</v>
      </c>
      <c r="C5" s="10" t="s">
        <v>106</v>
      </c>
      <c r="D5" s="10" t="s">
        <v>107</v>
      </c>
      <c r="E5" s="10" t="s">
        <v>221</v>
      </c>
      <c r="F5" s="10" t="s">
        <v>68</v>
      </c>
      <c r="G5" s="10" t="s">
        <v>54</v>
      </c>
      <c r="H5" s="10" t="s">
        <v>10</v>
      </c>
      <c r="I5" s="10" t="s">
        <v>108</v>
      </c>
      <c r="J5" s="39" t="s">
        <v>244</v>
      </c>
      <c r="K5" s="23" t="s">
        <v>245</v>
      </c>
      <c r="L5" s="24" t="s">
        <v>109</v>
      </c>
      <c r="M5" s="20" t="s">
        <v>150</v>
      </c>
      <c r="N5" s="24" t="s">
        <v>151</v>
      </c>
      <c r="O5" s="38">
        <v>46177</v>
      </c>
      <c r="P5" s="21" t="s">
        <v>147</v>
      </c>
      <c r="Q5" s="24" t="s">
        <v>249</v>
      </c>
      <c r="R5" s="22" t="b">
        <v>1</v>
      </c>
    </row>
    <row r="6" spans="1:18" ht="25.5" x14ac:dyDescent="0.25">
      <c r="A6" s="16" t="s">
        <v>118</v>
      </c>
      <c r="B6" s="16" t="s">
        <v>119</v>
      </c>
      <c r="C6" s="16" t="s">
        <v>120</v>
      </c>
      <c r="D6" s="16" t="s">
        <v>121</v>
      </c>
      <c r="E6" s="16" t="s">
        <v>246</v>
      </c>
      <c r="F6" s="16" t="s">
        <v>55</v>
      </c>
      <c r="G6" s="16" t="s">
        <v>54</v>
      </c>
      <c r="H6" s="16" t="s">
        <v>10</v>
      </c>
      <c r="I6" s="16" t="s">
        <v>108</v>
      </c>
      <c r="J6" s="40" t="s">
        <v>247</v>
      </c>
      <c r="K6" s="18" t="s">
        <v>248</v>
      </c>
      <c r="L6" s="19" t="s">
        <v>109</v>
      </c>
      <c r="M6" s="20" t="s">
        <v>150</v>
      </c>
      <c r="N6" s="19" t="s">
        <v>151</v>
      </c>
      <c r="O6" s="38">
        <v>46177</v>
      </c>
      <c r="P6" s="21" t="s">
        <v>147</v>
      </c>
      <c r="Q6" s="19" t="s">
        <v>249</v>
      </c>
      <c r="R6" s="22" t="b">
        <v>1</v>
      </c>
    </row>
    <row r="7" spans="1:18" ht="25.5" x14ac:dyDescent="0.25">
      <c r="A7" s="10" t="s">
        <v>122</v>
      </c>
      <c r="B7" s="10" t="s">
        <v>123</v>
      </c>
      <c r="C7" s="10" t="s">
        <v>120</v>
      </c>
      <c r="D7" s="10" t="s">
        <v>121</v>
      </c>
      <c r="E7" s="10" t="s">
        <v>222</v>
      </c>
      <c r="F7" s="10" t="s">
        <v>124</v>
      </c>
      <c r="G7" s="10" t="s">
        <v>125</v>
      </c>
      <c r="H7" s="10" t="s">
        <v>10</v>
      </c>
      <c r="I7" s="10" t="s">
        <v>108</v>
      </c>
      <c r="J7" s="39" t="s">
        <v>223</v>
      </c>
      <c r="K7" s="23" t="s">
        <v>224</v>
      </c>
      <c r="L7" s="24" t="s">
        <v>109</v>
      </c>
      <c r="M7" s="20" t="s">
        <v>150</v>
      </c>
      <c r="N7" s="24" t="s">
        <v>151</v>
      </c>
      <c r="O7" s="38">
        <v>46177</v>
      </c>
      <c r="P7" s="21" t="s">
        <v>147</v>
      </c>
      <c r="Q7" s="24" t="s">
        <v>249</v>
      </c>
      <c r="R7" s="22" t="b">
        <v>1</v>
      </c>
    </row>
    <row r="8" spans="1:18" ht="25.5" x14ac:dyDescent="0.25">
      <c r="A8" s="16" t="s">
        <v>126</v>
      </c>
      <c r="B8" s="16" t="s">
        <v>127</v>
      </c>
      <c r="C8" s="16" t="s">
        <v>120</v>
      </c>
      <c r="D8" s="16" t="s">
        <v>121</v>
      </c>
      <c r="E8" s="16" t="s">
        <v>225</v>
      </c>
      <c r="F8" s="16" t="s">
        <v>128</v>
      </c>
      <c r="G8" s="16" t="s">
        <v>129</v>
      </c>
      <c r="H8" s="16" t="s">
        <v>10</v>
      </c>
      <c r="I8" s="16" t="s">
        <v>108</v>
      </c>
      <c r="J8" s="40" t="s">
        <v>226</v>
      </c>
      <c r="K8" s="18" t="s">
        <v>227</v>
      </c>
      <c r="L8" s="19" t="s">
        <v>109</v>
      </c>
      <c r="M8" s="20" t="s">
        <v>150</v>
      </c>
      <c r="N8" s="19" t="s">
        <v>151</v>
      </c>
      <c r="O8" s="38">
        <v>46177</v>
      </c>
      <c r="P8" s="21" t="s">
        <v>147</v>
      </c>
      <c r="Q8" s="19" t="s">
        <v>249</v>
      </c>
      <c r="R8" s="22" t="b">
        <v>1</v>
      </c>
    </row>
    <row r="9" spans="1:18" ht="25.5" x14ac:dyDescent="0.25">
      <c r="A9" s="10" t="s">
        <v>130</v>
      </c>
      <c r="B9" s="10" t="s">
        <v>131</v>
      </c>
      <c r="C9" s="10" t="s">
        <v>132</v>
      </c>
      <c r="D9" s="10" t="s">
        <v>107</v>
      </c>
      <c r="E9" s="10" t="s">
        <v>228</v>
      </c>
      <c r="F9" s="10" t="s">
        <v>55</v>
      </c>
      <c r="G9" s="10" t="s">
        <v>54</v>
      </c>
      <c r="H9" s="10" t="s">
        <v>10</v>
      </c>
      <c r="I9" s="10" t="s">
        <v>108</v>
      </c>
      <c r="J9" s="39" t="s">
        <v>229</v>
      </c>
      <c r="K9" s="23" t="s">
        <v>230</v>
      </c>
      <c r="L9" s="24" t="s">
        <v>109</v>
      </c>
      <c r="M9" s="20" t="s">
        <v>150</v>
      </c>
      <c r="N9" s="24" t="s">
        <v>151</v>
      </c>
      <c r="O9" s="38">
        <v>46177</v>
      </c>
      <c r="P9" s="21" t="s">
        <v>147</v>
      </c>
      <c r="Q9" s="24" t="s">
        <v>249</v>
      </c>
      <c r="R9" s="22" t="b">
        <v>1</v>
      </c>
    </row>
    <row r="10" spans="1:18" ht="25.5" x14ac:dyDescent="0.25">
      <c r="A10" s="16" t="s">
        <v>133</v>
      </c>
      <c r="B10" s="16" t="s">
        <v>134</v>
      </c>
      <c r="C10" s="16" t="s">
        <v>135</v>
      </c>
      <c r="D10" s="16" t="s">
        <v>136</v>
      </c>
      <c r="E10" s="16" t="s">
        <v>231</v>
      </c>
      <c r="F10" s="16" t="s">
        <v>137</v>
      </c>
      <c r="G10" s="16" t="s">
        <v>54</v>
      </c>
      <c r="H10" s="16" t="s">
        <v>10</v>
      </c>
      <c r="I10" s="16" t="s">
        <v>108</v>
      </c>
      <c r="J10" s="40" t="s">
        <v>232</v>
      </c>
      <c r="K10" s="18" t="s">
        <v>233</v>
      </c>
      <c r="L10" s="19" t="s">
        <v>109</v>
      </c>
      <c r="M10" s="20" t="s">
        <v>150</v>
      </c>
      <c r="N10" s="19" t="s">
        <v>151</v>
      </c>
      <c r="O10" s="38">
        <v>46177</v>
      </c>
      <c r="P10" s="21" t="s">
        <v>147</v>
      </c>
      <c r="Q10" s="19" t="s">
        <v>249</v>
      </c>
      <c r="R10" s="22" t="b">
        <v>1</v>
      </c>
    </row>
    <row r="11" spans="1:18" ht="25.5" x14ac:dyDescent="0.25">
      <c r="A11" s="10" t="s">
        <v>138</v>
      </c>
      <c r="B11" s="10" t="s">
        <v>139</v>
      </c>
      <c r="C11" s="10" t="s">
        <v>140</v>
      </c>
      <c r="D11" s="10" t="s">
        <v>121</v>
      </c>
      <c r="E11" s="10" t="s">
        <v>234</v>
      </c>
      <c r="F11" s="10" t="s">
        <v>68</v>
      </c>
      <c r="G11" s="10" t="s">
        <v>54</v>
      </c>
      <c r="H11" s="10" t="s">
        <v>10</v>
      </c>
      <c r="I11" s="10" t="s">
        <v>108</v>
      </c>
      <c r="J11" s="39" t="s">
        <v>235</v>
      </c>
      <c r="K11" s="23" t="s">
        <v>236</v>
      </c>
      <c r="L11" s="24" t="s">
        <v>109</v>
      </c>
      <c r="M11" s="20" t="s">
        <v>150</v>
      </c>
      <c r="N11" s="24" t="s">
        <v>151</v>
      </c>
      <c r="O11" s="38">
        <v>46177</v>
      </c>
      <c r="P11" s="21" t="s">
        <v>147</v>
      </c>
      <c r="Q11" s="24" t="s">
        <v>249</v>
      </c>
      <c r="R11" s="22" t="b">
        <v>1</v>
      </c>
    </row>
    <row r="13" spans="1:18" ht="27.95" customHeight="1" x14ac:dyDescent="0.25">
      <c r="A13" s="33" t="s">
        <v>141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9" spans="10:10" x14ac:dyDescent="0.25">
      <c r="J19" s="18"/>
    </row>
  </sheetData>
  <mergeCells count="1">
    <mergeCell ref="A13:R13"/>
  </mergeCells>
  <dataValidations count="4">
    <dataValidation type="list" allowBlank="1" sqref="M2:M1000" xr:uid="{00000000-0002-0000-0200-000000000000}">
      <formula1>"pending,verified,imported"</formula1>
    </dataValidation>
    <dataValidation type="list" allowBlank="1" sqref="N2:N1000" xr:uid="{00000000-0002-0000-0200-000001000000}">
      <formula1>"official_provider_page,google_maps_manual_review,openstreetmap_manual_review,provider_site_plus_maps_review"</formula1>
    </dataValidation>
    <dataValidation type="list" allowBlank="1" sqref="P2:P1000" xr:uid="{00000000-0002-0000-0200-000002000000}">
      <formula1>"high,medium,low"</formula1>
    </dataValidation>
    <dataValidation type="list" allowBlank="1" sqref="R2:R1000" xr:uid="{00000000-0002-0000-0200-000003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CCCC"/>
  </sheetPr>
  <dimension ref="A1:J12"/>
  <sheetViews>
    <sheetView showGridLines="0" workbookViewId="0"/>
  </sheetViews>
  <sheetFormatPr defaultRowHeight="15" x14ac:dyDescent="0.25"/>
  <cols>
    <col min="1" max="10" width="32" customWidth="1"/>
  </cols>
  <sheetData>
    <row r="1" spans="1:10" x14ac:dyDescent="0.25">
      <c r="A1" s="1" t="s">
        <v>31</v>
      </c>
      <c r="B1" s="1" t="s">
        <v>32</v>
      </c>
      <c r="C1" s="1" t="s">
        <v>6</v>
      </c>
      <c r="D1" s="1" t="s">
        <v>41</v>
      </c>
      <c r="E1" s="1" t="s">
        <v>42</v>
      </c>
      <c r="F1" s="1" t="s">
        <v>43</v>
      </c>
      <c r="G1" s="1" t="s">
        <v>142</v>
      </c>
      <c r="H1" s="1" t="s">
        <v>98</v>
      </c>
      <c r="I1" s="1" t="s">
        <v>143</v>
      </c>
      <c r="J1" s="1" t="s">
        <v>101</v>
      </c>
    </row>
    <row r="2" spans="1:10" x14ac:dyDescent="0.25">
      <c r="A2" s="16" t="s">
        <v>52</v>
      </c>
      <c r="B2" s="16" t="s">
        <v>67</v>
      </c>
      <c r="C2" s="16" t="s">
        <v>10</v>
      </c>
      <c r="D2" s="16" t="s">
        <v>9</v>
      </c>
      <c r="E2" s="16" t="s">
        <v>60</v>
      </c>
      <c r="F2" s="16" t="s">
        <v>144</v>
      </c>
      <c r="G2" s="16" t="s">
        <v>145</v>
      </c>
      <c r="H2" s="16" t="s">
        <v>110</v>
      </c>
      <c r="I2" s="16" t="s">
        <v>146</v>
      </c>
      <c r="J2" s="16" t="s">
        <v>147</v>
      </c>
    </row>
    <row r="3" spans="1:10" x14ac:dyDescent="0.25">
      <c r="A3" s="10" t="s">
        <v>76</v>
      </c>
      <c r="B3" s="10" t="s">
        <v>53</v>
      </c>
      <c r="C3" s="10" t="s">
        <v>13</v>
      </c>
      <c r="D3" s="10" t="s">
        <v>12</v>
      </c>
      <c r="E3" s="10" t="s">
        <v>148</v>
      </c>
      <c r="F3" s="10" t="s">
        <v>61</v>
      </c>
      <c r="G3" s="10" t="s">
        <v>149</v>
      </c>
      <c r="H3" s="10" t="s">
        <v>150</v>
      </c>
      <c r="I3" s="10" t="s">
        <v>151</v>
      </c>
      <c r="J3" s="10" t="s">
        <v>152</v>
      </c>
    </row>
    <row r="4" spans="1:10" x14ac:dyDescent="0.25">
      <c r="A4" s="14"/>
      <c r="B4" s="16" t="s">
        <v>153</v>
      </c>
      <c r="C4" s="16" t="s">
        <v>16</v>
      </c>
      <c r="D4" s="16" t="s">
        <v>15</v>
      </c>
      <c r="E4" s="16" t="s">
        <v>154</v>
      </c>
      <c r="F4" s="16" t="s">
        <v>87</v>
      </c>
      <c r="G4" s="16" t="s">
        <v>57</v>
      </c>
      <c r="H4" s="16" t="s">
        <v>155</v>
      </c>
      <c r="I4" s="16" t="s">
        <v>156</v>
      </c>
      <c r="J4" s="16" t="s">
        <v>157</v>
      </c>
    </row>
    <row r="5" spans="1:10" x14ac:dyDescent="0.25">
      <c r="A5" s="14"/>
      <c r="B5" s="10" t="s">
        <v>158</v>
      </c>
      <c r="C5" s="10" t="s">
        <v>159</v>
      </c>
      <c r="D5" s="10" t="s">
        <v>18</v>
      </c>
      <c r="E5" s="10" t="s">
        <v>22</v>
      </c>
      <c r="F5" s="10" t="s">
        <v>71</v>
      </c>
      <c r="G5" s="14"/>
      <c r="H5" s="14"/>
      <c r="I5" s="10" t="s">
        <v>160</v>
      </c>
      <c r="J5" s="14"/>
    </row>
    <row r="6" spans="1:10" x14ac:dyDescent="0.25">
      <c r="A6" s="14"/>
      <c r="B6" s="16" t="s">
        <v>77</v>
      </c>
      <c r="C6" s="16" t="s">
        <v>161</v>
      </c>
      <c r="D6" s="16" t="s">
        <v>21</v>
      </c>
      <c r="E6" s="16" t="s">
        <v>162</v>
      </c>
      <c r="F6" s="16" t="s">
        <v>80</v>
      </c>
      <c r="G6" s="14"/>
      <c r="H6" s="14"/>
      <c r="I6" s="14"/>
      <c r="J6" s="14"/>
    </row>
    <row r="7" spans="1:10" x14ac:dyDescent="0.25">
      <c r="A7" s="14"/>
      <c r="B7" s="10" t="s">
        <v>163</v>
      </c>
      <c r="C7" s="10" t="s">
        <v>164</v>
      </c>
      <c r="D7" s="10" t="s">
        <v>23</v>
      </c>
      <c r="E7" s="10" t="s">
        <v>165</v>
      </c>
      <c r="F7" s="14"/>
      <c r="G7" s="14"/>
      <c r="H7" s="14"/>
      <c r="I7" s="14"/>
      <c r="J7" s="14"/>
    </row>
    <row r="8" spans="1:10" x14ac:dyDescent="0.25">
      <c r="A8" s="14"/>
      <c r="B8" s="16" t="s">
        <v>84</v>
      </c>
      <c r="C8" s="16" t="s">
        <v>166</v>
      </c>
      <c r="D8" s="14"/>
      <c r="E8" s="14"/>
      <c r="F8" s="14"/>
      <c r="G8" s="14"/>
      <c r="H8" s="14"/>
      <c r="I8" s="14"/>
      <c r="J8" s="14"/>
    </row>
    <row r="9" spans="1:10" x14ac:dyDescent="0.25">
      <c r="A9" s="14"/>
      <c r="B9" s="10" t="s">
        <v>167</v>
      </c>
      <c r="C9" s="10" t="s">
        <v>168</v>
      </c>
      <c r="D9" s="14"/>
      <c r="E9" s="14"/>
      <c r="F9" s="14"/>
      <c r="G9" s="14"/>
      <c r="H9" s="14"/>
      <c r="I9" s="14"/>
      <c r="J9" s="14"/>
    </row>
    <row r="10" spans="1:10" x14ac:dyDescent="0.25">
      <c r="A10" s="14"/>
      <c r="B10" s="16" t="s">
        <v>169</v>
      </c>
      <c r="C10" s="16" t="s">
        <v>170</v>
      </c>
      <c r="D10" s="14"/>
      <c r="E10" s="14"/>
      <c r="F10" s="14"/>
      <c r="G10" s="14"/>
      <c r="H10" s="14"/>
      <c r="I10" s="14"/>
      <c r="J10" s="14"/>
    </row>
    <row r="11" spans="1:10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27"/>
  </sheetPr>
  <dimension ref="B1:C33"/>
  <sheetViews>
    <sheetView showGridLines="0" workbookViewId="0">
      <selection activeCell="F8" sqref="F8"/>
    </sheetView>
  </sheetViews>
  <sheetFormatPr defaultRowHeight="15" x14ac:dyDescent="0.25"/>
  <cols>
    <col min="1" max="1" width="2" customWidth="1"/>
    <col min="2" max="2" width="22" customWidth="1"/>
    <col min="3" max="3" width="70" customWidth="1"/>
  </cols>
  <sheetData>
    <row r="1" spans="2:3" ht="30" customHeight="1" x14ac:dyDescent="0.25">
      <c r="B1" s="36" t="s">
        <v>171</v>
      </c>
      <c r="C1" s="35"/>
    </row>
    <row r="2" spans="2:3" x14ac:dyDescent="0.25">
      <c r="B2" s="14"/>
      <c r="C2" s="14"/>
    </row>
    <row r="3" spans="2:3" ht="21.95" customHeight="1" x14ac:dyDescent="0.25">
      <c r="B3" s="34" t="s">
        <v>172</v>
      </c>
      <c r="C3" s="35"/>
    </row>
    <row r="4" spans="2:3" ht="21.95" customHeight="1" x14ac:dyDescent="0.25">
      <c r="B4" s="25" t="s">
        <v>173</v>
      </c>
      <c r="C4" s="4" t="s">
        <v>174</v>
      </c>
    </row>
    <row r="5" spans="2:3" ht="21.95" customHeight="1" x14ac:dyDescent="0.25">
      <c r="B5" s="26" t="s">
        <v>175</v>
      </c>
      <c r="C5" s="10" t="s">
        <v>176</v>
      </c>
    </row>
    <row r="6" spans="2:3" ht="21.95" customHeight="1" x14ac:dyDescent="0.25">
      <c r="B6" s="25" t="s">
        <v>177</v>
      </c>
      <c r="C6" s="4" t="s">
        <v>178</v>
      </c>
    </row>
    <row r="7" spans="2:3" ht="21.95" customHeight="1" x14ac:dyDescent="0.25">
      <c r="B7" s="26" t="s">
        <v>179</v>
      </c>
      <c r="C7" s="4" t="s">
        <v>178</v>
      </c>
    </row>
    <row r="8" spans="2:3" ht="21.95" customHeight="1" x14ac:dyDescent="0.25">
      <c r="B8" s="35"/>
      <c r="C8" s="35"/>
    </row>
    <row r="9" spans="2:3" ht="21.95" customHeight="1" x14ac:dyDescent="0.25">
      <c r="B9" s="34" t="s">
        <v>180</v>
      </c>
      <c r="C9" s="35"/>
    </row>
    <row r="10" spans="2:3" ht="21.95" customHeight="1" x14ac:dyDescent="0.25">
      <c r="B10" s="25" t="s">
        <v>181</v>
      </c>
      <c r="C10" s="4" t="s">
        <v>182</v>
      </c>
    </row>
    <row r="11" spans="2:3" ht="21.95" customHeight="1" x14ac:dyDescent="0.25">
      <c r="B11" s="26" t="s">
        <v>183</v>
      </c>
      <c r="C11" s="10" t="s">
        <v>184</v>
      </c>
    </row>
    <row r="12" spans="2:3" ht="21.95" customHeight="1" x14ac:dyDescent="0.25">
      <c r="B12" s="25" t="s">
        <v>185</v>
      </c>
      <c r="C12" s="4" t="s">
        <v>186</v>
      </c>
    </row>
    <row r="13" spans="2:3" ht="21.95" customHeight="1" x14ac:dyDescent="0.25">
      <c r="B13" s="26" t="s">
        <v>187</v>
      </c>
      <c r="C13" s="10" t="s">
        <v>188</v>
      </c>
    </row>
    <row r="14" spans="2:3" ht="21.95" customHeight="1" x14ac:dyDescent="0.25">
      <c r="B14" s="25" t="s">
        <v>189</v>
      </c>
      <c r="C14" s="4" t="s">
        <v>190</v>
      </c>
    </row>
    <row r="15" spans="2:3" ht="21.95" customHeight="1" x14ac:dyDescent="0.25">
      <c r="B15" s="26" t="s">
        <v>191</v>
      </c>
      <c r="C15" s="10" t="s">
        <v>192</v>
      </c>
    </row>
    <row r="16" spans="2:3" ht="21.95" customHeight="1" x14ac:dyDescent="0.25">
      <c r="B16" s="25" t="s">
        <v>193</v>
      </c>
      <c r="C16" s="4" t="s">
        <v>194</v>
      </c>
    </row>
    <row r="17" spans="2:3" ht="21.95" customHeight="1" x14ac:dyDescent="0.25">
      <c r="B17" s="26" t="s">
        <v>195</v>
      </c>
      <c r="C17" s="10" t="s">
        <v>196</v>
      </c>
    </row>
    <row r="18" spans="2:3" ht="21.95" customHeight="1" x14ac:dyDescent="0.25">
      <c r="B18" s="25" t="s">
        <v>197</v>
      </c>
      <c r="C18" s="4" t="s">
        <v>198</v>
      </c>
    </row>
    <row r="19" spans="2:3" ht="21.95" customHeight="1" x14ac:dyDescent="0.25">
      <c r="B19" s="26" t="s">
        <v>199</v>
      </c>
      <c r="C19" s="10" t="s">
        <v>200</v>
      </c>
    </row>
    <row r="20" spans="2:3" ht="21.95" customHeight="1" x14ac:dyDescent="0.25">
      <c r="B20" s="25" t="s">
        <v>201</v>
      </c>
      <c r="C20" s="4" t="s">
        <v>202</v>
      </c>
    </row>
    <row r="21" spans="2:3" ht="21.95" customHeight="1" x14ac:dyDescent="0.25">
      <c r="B21" s="26" t="s">
        <v>203</v>
      </c>
      <c r="C21" s="10" t="s">
        <v>204</v>
      </c>
    </row>
    <row r="22" spans="2:3" ht="21.95" customHeight="1" x14ac:dyDescent="0.25">
      <c r="B22" s="35"/>
      <c r="C22" s="35"/>
    </row>
    <row r="23" spans="2:3" ht="21.95" customHeight="1" x14ac:dyDescent="0.25">
      <c r="B23" s="34" t="s">
        <v>205</v>
      </c>
      <c r="C23" s="35"/>
    </row>
    <row r="24" spans="2:3" ht="21.95" customHeight="1" x14ac:dyDescent="0.25">
      <c r="B24" s="25" t="s">
        <v>146</v>
      </c>
      <c r="C24" s="4" t="s">
        <v>206</v>
      </c>
    </row>
    <row r="25" spans="2:3" ht="21.95" customHeight="1" x14ac:dyDescent="0.25">
      <c r="B25" s="26" t="s">
        <v>151</v>
      </c>
      <c r="C25" s="10" t="s">
        <v>207</v>
      </c>
    </row>
    <row r="26" spans="2:3" ht="21.95" customHeight="1" x14ac:dyDescent="0.25">
      <c r="B26" s="25" t="s">
        <v>156</v>
      </c>
      <c r="C26" s="4" t="s">
        <v>208</v>
      </c>
    </row>
    <row r="27" spans="2:3" ht="21.95" customHeight="1" x14ac:dyDescent="0.25">
      <c r="B27" s="26" t="s">
        <v>160</v>
      </c>
      <c r="C27" s="10" t="s">
        <v>209</v>
      </c>
    </row>
    <row r="28" spans="2:3" ht="21.95" customHeight="1" x14ac:dyDescent="0.25">
      <c r="B28" s="35"/>
      <c r="C28" s="35"/>
    </row>
    <row r="29" spans="2:3" ht="21.95" customHeight="1" x14ac:dyDescent="0.25">
      <c r="B29" s="34" t="s">
        <v>210</v>
      </c>
      <c r="C29" s="35"/>
    </row>
    <row r="30" spans="2:3" ht="21.95" customHeight="1" x14ac:dyDescent="0.25">
      <c r="B30" s="27" t="s">
        <v>211</v>
      </c>
      <c r="C30" s="28" t="s">
        <v>212</v>
      </c>
    </row>
    <row r="31" spans="2:3" ht="21.95" customHeight="1" x14ac:dyDescent="0.25">
      <c r="B31" s="27" t="s">
        <v>213</v>
      </c>
      <c r="C31" s="28" t="s">
        <v>214</v>
      </c>
    </row>
    <row r="32" spans="2:3" ht="21.95" customHeight="1" x14ac:dyDescent="0.25">
      <c r="B32" s="27" t="s">
        <v>215</v>
      </c>
      <c r="C32" s="28" t="s">
        <v>216</v>
      </c>
    </row>
    <row r="33" spans="2:3" ht="21.95" customHeight="1" x14ac:dyDescent="0.25">
      <c r="B33" s="27" t="s">
        <v>217</v>
      </c>
      <c r="C33" s="28" t="s">
        <v>218</v>
      </c>
    </row>
  </sheetData>
  <mergeCells count="8">
    <mergeCell ref="B1:C1"/>
    <mergeCell ref="B8:C8"/>
    <mergeCell ref="B29:C29"/>
    <mergeCell ref="B3:C3"/>
    <mergeCell ref="B28:C28"/>
    <mergeCell ref="B23:C23"/>
    <mergeCell ref="B22:C22"/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Provider Tracker</vt:lpstr>
      <vt:lpstr>Coord Verification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Nel</cp:lastModifiedBy>
  <dcterms:created xsi:type="dcterms:W3CDTF">2026-06-04T07:06:27Z</dcterms:created>
  <dcterms:modified xsi:type="dcterms:W3CDTF">2026-06-04T10:13:22Z</dcterms:modified>
</cp:coreProperties>
</file>